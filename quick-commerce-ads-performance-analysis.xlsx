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mpaign Data" sheetId="1" state="visible" r:id="rId3"/>
    <sheet name="Insights &amp; Recommenda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<sst xmlns="http://schemas.openxmlformats.org/spreadsheetml/2006/main" count="50" uniqueCount="47">
  <si>
    <t xml:space="preserve">Blinkit Ads — Keyword Performance Analysis (Mock Project)</t>
  </si>
  <si>
    <t xml:space="preserve">Personal practice project simulating a quick-commerce performance marketing campaign</t>
  </si>
  <si>
    <t xml:space="preserve">Keyword</t>
  </si>
  <si>
    <t xml:space="preserve">Ad Group</t>
  </si>
  <si>
    <t xml:space="preserve">Impressions</t>
  </si>
  <si>
    <t xml:space="preserve">Clicks</t>
  </si>
  <si>
    <t xml:space="preserve">CTR (%)</t>
  </si>
  <si>
    <t xml:space="preserve">Spend (₹)</t>
  </si>
  <si>
    <t xml:space="preserve">CPC (₹)</t>
  </si>
  <si>
    <t xml:space="preserve">Conversions</t>
  </si>
  <si>
    <t xml:space="preserve">ROAS</t>
  </si>
  <si>
    <t xml:space="preserve">Avg Order Value (₹) — helper for ROAS calc, not a real ads metric</t>
  </si>
  <si>
    <t xml:space="preserve">buy groceries online</t>
  </si>
  <si>
    <t xml:space="preserve">Generic - Grocery</t>
  </si>
  <si>
    <t xml:space="preserve">organic vegetables delivery</t>
  </si>
  <si>
    <t xml:space="preserve">blinkit offers today</t>
  </si>
  <si>
    <t xml:space="preserve">Brand - Offers</t>
  </si>
  <si>
    <t xml:space="preserve">instant grocery delivery</t>
  </si>
  <si>
    <t xml:space="preserve">fruits and vegetables online</t>
  </si>
  <si>
    <t xml:space="preserve">blinkit near me</t>
  </si>
  <si>
    <t xml:space="preserve">Brand - Local</t>
  </si>
  <si>
    <t xml:space="preserve">milk and dairy delivery</t>
  </si>
  <si>
    <t xml:space="preserve">Generic - Dairy</t>
  </si>
  <si>
    <t xml:space="preserve">snacks online order</t>
  </si>
  <si>
    <t xml:space="preserve">Generic - Snacks</t>
  </si>
  <si>
    <t xml:space="preserve">cold drinks delivery fast</t>
  </si>
  <si>
    <t xml:space="preserve">Generic - Beverages</t>
  </si>
  <si>
    <t xml:space="preserve">10 minute grocery delivery</t>
  </si>
  <si>
    <t xml:space="preserve">Brand - USP</t>
  </si>
  <si>
    <t xml:space="preserve">baby products online</t>
  </si>
  <si>
    <t xml:space="preserve">Generic - Baby Care</t>
  </si>
  <si>
    <t xml:space="preserve">personal care essentials</t>
  </si>
  <si>
    <t xml:space="preserve">Generic - Personal Care</t>
  </si>
  <si>
    <t xml:space="preserve">TOTAL / AVERAGE</t>
  </si>
  <si>
    <t xml:space="preserve">Key Insights</t>
  </si>
  <si>
    <t xml:space="preserve">1. Best performer:</t>
  </si>
  <si>
    <t xml:space="preserve">"10 minute grocery delivery" drives the highest conversions (142) at a strong ROAS — scale budget here first.</t>
  </si>
  <si>
    <t xml:space="preserve">2. Worst performer:</t>
  </si>
  <si>
    <t xml:space="preserve">"baby products online" has very low conversions (4) for its spend — CPC and CTR should be checked; consider pausing or testing new creative.</t>
  </si>
  <si>
    <t xml:space="preserve">3. High CTR, low conversions:</t>
  </si>
  <si>
    <t xml:space="preserve">"blinkit offers today" gets strong clicks (CTR) but conversion rate per click is lower than "10 min delivery" — landing page or offer relevance may need review.</t>
  </si>
  <si>
    <t xml:space="preserve">4. Underused opportunity:</t>
  </si>
  <si>
    <t xml:space="preserve">"blinkit near me" has a low CPC and decent ROAS — a good candidate for increased budget since it's cost-efficient.</t>
  </si>
  <si>
    <t xml:space="preserve">5. Recommendation:</t>
  </si>
  <si>
    <t xml:space="preserve">Reallocate ~20% of spend from "baby products online" and "cold drinks delivery fast" (low ROAS) into "10 minute grocery delivery" and "blinkit near me" (high ROAS).</t>
  </si>
  <si>
    <t xml:space="preserve">How I'd explain this in an interview:</t>
  </si>
  <si>
    <t xml:space="preserve">I built a mock dataset simulating 12 keywords from a quick-commerce ads campaign, similar to what you'd see managing Blinkit/Swiggy ad accounts. I calculated CTR, CPC, and ROAS using formulas (no hardcoded numbers, so it updates automatically if inputs change), then identified which keywords were overspending with poor returns vs. which ones deserved more budget. The goal was to practice the exact kind of keyword harvesting and bid optimization decisions this BA Intern role would involve.</t>
  </si>
</sst>
</file>

<file path=xl/styles.xml><?xml version="1.0" encoding="utf-8"?>
<styleSheet xmlns="http://schemas.openxmlformats.org/spreadsheetml/2006/main">
  <numFmts count="5">
    <numFmt numFmtId="164" formatCode="General"/>
    <numFmt numFmtId="165" formatCode="0.00%"/>
    <numFmt numFmtId="166" formatCode="\₹#,##0.00"/>
    <numFmt numFmtId="167" formatCode="0.00\x"/>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55555"/>
      <name val="Arial"/>
      <family val="0"/>
      <charset val="1"/>
    </font>
    <font>
      <b val="true"/>
      <sz val="11"/>
      <color rgb="FFFFFFFF"/>
      <name val="Arial"/>
      <family val="0"/>
      <charset val="1"/>
    </font>
    <font>
      <sz val="11"/>
      <color rgb="FF0000FF"/>
      <name val="Arial"/>
      <family val="0"/>
      <charset val="1"/>
    </font>
    <font>
      <b val="true"/>
      <sz val="11"/>
      <name val="Arial"/>
      <family val="0"/>
      <charset val="1"/>
    </font>
    <font>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3"/>
    <col collapsed="false" customWidth="true" hidden="false" outlineLevel="0" max="4" min="4" style="0" width="10"/>
    <col collapsed="false" customWidth="true" hidden="false" outlineLevel="0" max="5" min="5" style="0" width="11"/>
    <col collapsed="false" customWidth="true" hidden="false" outlineLevel="0" max="6" min="6" style="0" width="12"/>
    <col collapsed="false" customWidth="true" hidden="false" outlineLevel="0" max="7" min="7" style="0" width="11"/>
    <col collapsed="false" customWidth="true" hidden="false" outlineLevel="0" max="8" min="8" style="0" width="12"/>
    <col collapsed="false" customWidth="true" hidden="false" outlineLevel="0" max="9" min="9" style="0" width="9"/>
    <col collapsed="false" customWidth="true" hidden="false" outlineLevel="0" max="10" min="10" style="0" width="38"/>
  </cols>
  <sheetData>
    <row r="1" customFormat="false" ht="17.35" hidden="false" customHeight="false" outlineLevel="0" collapsed="false">
      <c r="A1" s="1" t="s">
        <v>0</v>
      </c>
      <c r="B1" s="1"/>
      <c r="C1" s="1"/>
      <c r="D1" s="1"/>
      <c r="E1" s="1"/>
      <c r="F1" s="1"/>
      <c r="G1" s="1"/>
      <c r="H1" s="1"/>
      <c r="I1" s="1"/>
    </row>
    <row r="2" customFormat="false" ht="15" hidden="false" customHeight="false" outlineLevel="0" collapsed="false">
      <c r="A2" s="2" t="s">
        <v>1</v>
      </c>
      <c r="B2" s="2"/>
      <c r="C2" s="2"/>
      <c r="D2" s="2"/>
      <c r="E2" s="2"/>
      <c r="F2" s="2"/>
      <c r="G2" s="2"/>
      <c r="H2" s="2"/>
      <c r="I2" s="2"/>
    </row>
    <row r="4" customFormat="false" ht="15" hidden="false" customHeight="false" outlineLevel="0" collapsed="false">
      <c r="A4" s="3" t="s">
        <v>2</v>
      </c>
      <c r="B4" s="3" t="s">
        <v>3</v>
      </c>
      <c r="C4" s="3" t="s">
        <v>4</v>
      </c>
      <c r="D4" s="3" t="s">
        <v>5</v>
      </c>
      <c r="E4" s="3" t="s">
        <v>6</v>
      </c>
      <c r="F4" s="3" t="s">
        <v>7</v>
      </c>
      <c r="G4" s="3" t="s">
        <v>8</v>
      </c>
      <c r="H4" s="3" t="s">
        <v>9</v>
      </c>
      <c r="I4" s="3" t="s">
        <v>10</v>
      </c>
      <c r="J4" s="4" t="s">
        <v>11</v>
      </c>
    </row>
    <row r="5" customFormat="false" ht="15" hidden="false" customHeight="false" outlineLevel="0" collapsed="false">
      <c r="A5" s="5" t="s">
        <v>12</v>
      </c>
      <c r="B5" s="5" t="s">
        <v>13</v>
      </c>
      <c r="C5" s="6" t="n">
        <v>18500</v>
      </c>
      <c r="D5" s="6" t="n">
        <v>410</v>
      </c>
      <c r="E5" s="7" t="n">
        <f aca="false">D5/C5</f>
        <v>0.0221621621621622</v>
      </c>
      <c r="F5" s="6" t="n">
        <v>6200</v>
      </c>
      <c r="G5" s="8" t="n">
        <f aca="false">F5/D5</f>
        <v>15.1219512195122</v>
      </c>
      <c r="H5" s="6" t="n">
        <v>38</v>
      </c>
      <c r="I5" s="9" t="n">
        <f aca="false">(H5*J5)/F5</f>
        <v>2.75806451612903</v>
      </c>
      <c r="J5" s="0" t="n">
        <v>450</v>
      </c>
    </row>
    <row r="6" customFormat="false" ht="15" hidden="false" customHeight="false" outlineLevel="0" collapsed="false">
      <c r="A6" s="5" t="s">
        <v>14</v>
      </c>
      <c r="B6" s="5" t="s">
        <v>13</v>
      </c>
      <c r="C6" s="6" t="n">
        <v>9200</v>
      </c>
      <c r="D6" s="6" t="n">
        <v>265</v>
      </c>
      <c r="E6" s="7" t="n">
        <f aca="false">D6/C6</f>
        <v>0.028804347826087</v>
      </c>
      <c r="F6" s="6" t="n">
        <v>4100</v>
      </c>
      <c r="G6" s="8" t="n">
        <f aca="false">F6/D6</f>
        <v>15.4716981132075</v>
      </c>
      <c r="H6" s="6" t="n">
        <v>31</v>
      </c>
      <c r="I6" s="9" t="n">
        <f aca="false">(H6*J6)/F6</f>
        <v>3.62926829268293</v>
      </c>
      <c r="J6" s="0" t="n">
        <v>480</v>
      </c>
    </row>
    <row r="7" customFormat="false" ht="15" hidden="false" customHeight="false" outlineLevel="0" collapsed="false">
      <c r="A7" s="5" t="s">
        <v>15</v>
      </c>
      <c r="B7" s="5" t="s">
        <v>16</v>
      </c>
      <c r="C7" s="6" t="n">
        <v>22100</v>
      </c>
      <c r="D7" s="6" t="n">
        <v>980</v>
      </c>
      <c r="E7" s="7" t="n">
        <f aca="false">D7/C7</f>
        <v>0.0443438914027149</v>
      </c>
      <c r="F7" s="6" t="n">
        <v>5400</v>
      </c>
      <c r="G7" s="8" t="n">
        <f aca="false">F7/D7</f>
        <v>5.51020408163265</v>
      </c>
      <c r="H7" s="6" t="n">
        <v>96</v>
      </c>
      <c r="I7" s="9" t="n">
        <f aca="false">(H7*J7)/F7</f>
        <v>7.46666666666667</v>
      </c>
      <c r="J7" s="0" t="n">
        <v>420</v>
      </c>
    </row>
    <row r="8" customFormat="false" ht="15" hidden="false" customHeight="false" outlineLevel="0" collapsed="false">
      <c r="A8" s="5" t="s">
        <v>17</v>
      </c>
      <c r="B8" s="5" t="s">
        <v>13</v>
      </c>
      <c r="C8" s="6" t="n">
        <v>14300</v>
      </c>
      <c r="D8" s="6" t="n">
        <v>320</v>
      </c>
      <c r="E8" s="7" t="n">
        <f aca="false">D8/C8</f>
        <v>0.0223776223776224</v>
      </c>
      <c r="F8" s="6" t="n">
        <v>5800</v>
      </c>
      <c r="G8" s="8" t="n">
        <f aca="false">F8/D8</f>
        <v>18.125</v>
      </c>
      <c r="H8" s="6" t="n">
        <v>18</v>
      </c>
      <c r="I8" s="9" t="n">
        <f aca="false">(H8*J8)/F8</f>
        <v>1.27241379310345</v>
      </c>
      <c r="J8" s="0" t="n">
        <v>410</v>
      </c>
    </row>
    <row r="9" customFormat="false" ht="15" hidden="false" customHeight="false" outlineLevel="0" collapsed="false">
      <c r="A9" s="5" t="s">
        <v>18</v>
      </c>
      <c r="B9" s="5" t="s">
        <v>13</v>
      </c>
      <c r="C9" s="6" t="n">
        <v>11700</v>
      </c>
      <c r="D9" s="6" t="n">
        <v>298</v>
      </c>
      <c r="E9" s="7" t="n">
        <f aca="false">D9/C9</f>
        <v>0.0254700854700855</v>
      </c>
      <c r="F9" s="6" t="n">
        <v>3900</v>
      </c>
      <c r="G9" s="8" t="n">
        <f aca="false">F9/D9</f>
        <v>13.0872483221477</v>
      </c>
      <c r="H9" s="6" t="n">
        <v>29</v>
      </c>
      <c r="I9" s="9" t="n">
        <f aca="false">(H9*J9)/F9</f>
        <v>3.27179487179487</v>
      </c>
      <c r="J9" s="0" t="n">
        <v>440</v>
      </c>
    </row>
    <row r="10" customFormat="false" ht="15" hidden="false" customHeight="false" outlineLevel="0" collapsed="false">
      <c r="A10" s="5" t="s">
        <v>19</v>
      </c>
      <c r="B10" s="5" t="s">
        <v>20</v>
      </c>
      <c r="C10" s="6" t="n">
        <v>16800</v>
      </c>
      <c r="D10" s="6" t="n">
        <v>720</v>
      </c>
      <c r="E10" s="7" t="n">
        <f aca="false">D10/C10</f>
        <v>0.0428571428571429</v>
      </c>
      <c r="F10" s="6" t="n">
        <v>3100</v>
      </c>
      <c r="G10" s="8" t="n">
        <f aca="false">F10/D10</f>
        <v>4.30555555555556</v>
      </c>
      <c r="H10" s="6" t="n">
        <v>88</v>
      </c>
      <c r="I10" s="9" t="n">
        <f aca="false">(H10*J10)/F10</f>
        <v>13.058064516129</v>
      </c>
      <c r="J10" s="0" t="n">
        <v>460</v>
      </c>
    </row>
    <row r="11" customFormat="false" ht="15" hidden="false" customHeight="false" outlineLevel="0" collapsed="false">
      <c r="A11" s="5" t="s">
        <v>21</v>
      </c>
      <c r="B11" s="5" t="s">
        <v>22</v>
      </c>
      <c r="C11" s="6" t="n">
        <v>7600</v>
      </c>
      <c r="D11" s="6" t="n">
        <v>180</v>
      </c>
      <c r="E11" s="7" t="n">
        <f aca="false">D11/C11</f>
        <v>0.0236842105263158</v>
      </c>
      <c r="F11" s="6" t="n">
        <v>2200</v>
      </c>
      <c r="G11" s="8" t="n">
        <f aca="false">F11/D11</f>
        <v>12.2222222222222</v>
      </c>
      <c r="H11" s="6" t="n">
        <v>22</v>
      </c>
      <c r="I11" s="9" t="n">
        <f aca="false">(H11*J11)/F11</f>
        <v>3.9</v>
      </c>
      <c r="J11" s="0" t="n">
        <v>390</v>
      </c>
    </row>
    <row r="12" customFormat="false" ht="15" hidden="false" customHeight="false" outlineLevel="0" collapsed="false">
      <c r="A12" s="5" t="s">
        <v>23</v>
      </c>
      <c r="B12" s="5" t="s">
        <v>24</v>
      </c>
      <c r="C12" s="6" t="n">
        <v>13900</v>
      </c>
      <c r="D12" s="6" t="n">
        <v>410</v>
      </c>
      <c r="E12" s="7" t="n">
        <f aca="false">D12/C12</f>
        <v>0.0294964028776978</v>
      </c>
      <c r="F12" s="6" t="n">
        <v>4600</v>
      </c>
      <c r="G12" s="8" t="n">
        <f aca="false">F12/D12</f>
        <v>11.219512195122</v>
      </c>
      <c r="H12" s="6" t="n">
        <v>12</v>
      </c>
      <c r="I12" s="9" t="n">
        <f aca="false">(H12*J12)/F12</f>
        <v>0.91304347826087</v>
      </c>
      <c r="J12" s="0" t="n">
        <v>350</v>
      </c>
    </row>
    <row r="13" customFormat="false" ht="15" hidden="false" customHeight="false" outlineLevel="0" collapsed="false">
      <c r="A13" s="5" t="s">
        <v>25</v>
      </c>
      <c r="B13" s="5" t="s">
        <v>26</v>
      </c>
      <c r="C13" s="6" t="n">
        <v>6100</v>
      </c>
      <c r="D13" s="6" t="n">
        <v>145</v>
      </c>
      <c r="E13" s="7" t="n">
        <f aca="false">D13/C13</f>
        <v>0.0237704918032787</v>
      </c>
      <c r="F13" s="6" t="n">
        <v>1900</v>
      </c>
      <c r="G13" s="8" t="n">
        <f aca="false">F13/D13</f>
        <v>13.1034482758621</v>
      </c>
      <c r="H13" s="6" t="n">
        <v>9</v>
      </c>
      <c r="I13" s="9" t="n">
        <f aca="false">(H13*J13)/F13</f>
        <v>1.70526315789474</v>
      </c>
      <c r="J13" s="0" t="n">
        <v>360</v>
      </c>
    </row>
    <row r="14" customFormat="false" ht="15" hidden="false" customHeight="false" outlineLevel="0" collapsed="false">
      <c r="A14" s="5" t="s">
        <v>27</v>
      </c>
      <c r="B14" s="5" t="s">
        <v>28</v>
      </c>
      <c r="C14" s="6" t="n">
        <v>25400</v>
      </c>
      <c r="D14" s="6" t="n">
        <v>1150</v>
      </c>
      <c r="E14" s="7" t="n">
        <f aca="false">D14/C14</f>
        <v>0.0452755905511811</v>
      </c>
      <c r="F14" s="6" t="n">
        <v>7200</v>
      </c>
      <c r="G14" s="8" t="n">
        <f aca="false">F14/D14</f>
        <v>6.26086956521739</v>
      </c>
      <c r="H14" s="6" t="n">
        <v>142</v>
      </c>
      <c r="I14" s="9" t="n">
        <f aca="false">(H14*J14)/F14</f>
        <v>9.26944444444444</v>
      </c>
      <c r="J14" s="0" t="n">
        <v>470</v>
      </c>
    </row>
    <row r="15" customFormat="false" ht="15" hidden="false" customHeight="false" outlineLevel="0" collapsed="false">
      <c r="A15" s="5" t="s">
        <v>29</v>
      </c>
      <c r="B15" s="5" t="s">
        <v>30</v>
      </c>
      <c r="C15" s="6" t="n">
        <v>5200</v>
      </c>
      <c r="D15" s="6" t="n">
        <v>96</v>
      </c>
      <c r="E15" s="7" t="n">
        <f aca="false">D15/C15</f>
        <v>0.0184615384615385</v>
      </c>
      <c r="F15" s="6" t="n">
        <v>2100</v>
      </c>
      <c r="G15" s="8" t="n">
        <f aca="false">F15/D15</f>
        <v>21.875</v>
      </c>
      <c r="H15" s="6" t="n">
        <v>4</v>
      </c>
      <c r="I15" s="9" t="n">
        <f aca="false">(H15*J15)/F15</f>
        <v>1.14285714285714</v>
      </c>
      <c r="J15" s="0" t="n">
        <v>600</v>
      </c>
    </row>
    <row r="16" customFormat="false" ht="15" hidden="false" customHeight="false" outlineLevel="0" collapsed="false">
      <c r="A16" s="5" t="s">
        <v>31</v>
      </c>
      <c r="B16" s="5" t="s">
        <v>32</v>
      </c>
      <c r="C16" s="6" t="n">
        <v>8800</v>
      </c>
      <c r="D16" s="6" t="n">
        <v>210</v>
      </c>
      <c r="E16" s="7" t="n">
        <f aca="false">D16/C16</f>
        <v>0.0238636363636364</v>
      </c>
      <c r="F16" s="6" t="n">
        <v>3300</v>
      </c>
      <c r="G16" s="8" t="n">
        <f aca="false">F16/D16</f>
        <v>15.7142857142857</v>
      </c>
      <c r="H16" s="6" t="n">
        <v>14</v>
      </c>
      <c r="I16" s="9" t="n">
        <f aca="false">(H16*J16)/F16</f>
        <v>1.73939393939394</v>
      </c>
      <c r="J16" s="0" t="n">
        <v>410</v>
      </c>
    </row>
    <row r="17" customFormat="false" ht="15" hidden="false" customHeight="false" outlineLevel="0" collapsed="false">
      <c r="A17" s="10" t="s">
        <v>33</v>
      </c>
      <c r="B17" s="11"/>
      <c r="C17" s="10" t="n">
        <f aca="false">SUM(C5:C16)</f>
        <v>159600</v>
      </c>
      <c r="D17" s="10" t="n">
        <f aca="false">SUM(D5:D16)</f>
        <v>5184</v>
      </c>
      <c r="E17" s="12" t="n">
        <f aca="false">D17/C17</f>
        <v>0.0324812030075188</v>
      </c>
      <c r="F17" s="13" t="n">
        <f aca="false">SUM(F5:F16)</f>
        <v>49800</v>
      </c>
      <c r="G17" s="14" t="n">
        <f aca="false">F17/D17</f>
        <v>9.60648148148148</v>
      </c>
      <c r="H17" s="10" t="n">
        <f aca="false">SUM(H5:H16)</f>
        <v>503</v>
      </c>
      <c r="I17" s="15" t="n">
        <f aca="false">SUMPRODUCT(H5:H16,J5:J16)/F17</f>
        <v>4.49437751004016</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6" min="3" style="0" width="16"/>
  </cols>
  <sheetData>
    <row r="1" customFormat="false" ht="17.35" hidden="false" customHeight="false" outlineLevel="0" collapsed="false">
      <c r="A1" s="1" t="s">
        <v>34</v>
      </c>
      <c r="B1" s="1"/>
      <c r="C1" s="1"/>
      <c r="D1" s="1"/>
    </row>
    <row r="3" customFormat="false" ht="31.5" hidden="false" customHeight="true" outlineLevel="0" collapsed="false">
      <c r="A3" s="16" t="s">
        <v>35</v>
      </c>
      <c r="B3" s="17" t="s">
        <v>36</v>
      </c>
      <c r="C3" s="17"/>
      <c r="D3" s="17"/>
      <c r="E3" s="17"/>
      <c r="F3" s="17"/>
    </row>
    <row r="5" customFormat="false" ht="31.5" hidden="false" customHeight="true" outlineLevel="0" collapsed="false">
      <c r="A5" s="16" t="s">
        <v>37</v>
      </c>
      <c r="B5" s="17" t="s">
        <v>38</v>
      </c>
      <c r="C5" s="17"/>
      <c r="D5" s="17"/>
      <c r="E5" s="17"/>
      <c r="F5" s="17"/>
    </row>
    <row r="7" customFormat="false" ht="31.5" hidden="false" customHeight="true" outlineLevel="0" collapsed="false">
      <c r="A7" s="16" t="s">
        <v>39</v>
      </c>
      <c r="B7" s="17" t="s">
        <v>40</v>
      </c>
      <c r="C7" s="17"/>
      <c r="D7" s="17"/>
      <c r="E7" s="17"/>
      <c r="F7" s="17"/>
    </row>
    <row r="9" customFormat="false" ht="31.5" hidden="false" customHeight="true" outlineLevel="0" collapsed="false">
      <c r="A9" s="16" t="s">
        <v>41</v>
      </c>
      <c r="B9" s="17" t="s">
        <v>42</v>
      </c>
      <c r="C9" s="17"/>
      <c r="D9" s="17"/>
      <c r="E9" s="17"/>
      <c r="F9" s="17"/>
    </row>
    <row r="11" customFormat="false" ht="31.5" hidden="false" customHeight="true" outlineLevel="0" collapsed="false">
      <c r="A11" s="16" t="s">
        <v>43</v>
      </c>
      <c r="B11" s="17" t="s">
        <v>44</v>
      </c>
      <c r="C11" s="17"/>
      <c r="D11" s="17"/>
      <c r="E11" s="17"/>
      <c r="F11" s="17"/>
    </row>
    <row r="14" customFormat="false" ht="15" hidden="false" customHeight="false" outlineLevel="0" collapsed="false">
      <c r="A14" s="18" t="s">
        <v>45</v>
      </c>
      <c r="B14" s="18"/>
      <c r="C14" s="18"/>
      <c r="D14" s="18"/>
      <c r="E14" s="18"/>
      <c r="F14" s="18"/>
    </row>
    <row r="15" customFormat="false" ht="79.5" hidden="false" customHeight="true" outlineLevel="0" collapsed="false">
      <c r="A15" s="17" t="s">
        <v>46</v>
      </c>
      <c r="B15" s="17"/>
      <c r="C15" s="17"/>
      <c r="D15" s="17"/>
      <c r="E15" s="17"/>
      <c r="F15" s="17"/>
    </row>
    <row r="16" customFormat="false" ht="15" hidden="false" customHeight="false" outlineLevel="0" collapsed="false">
      <c r="A16" s="17"/>
      <c r="B16" s="17"/>
      <c r="C16" s="17"/>
      <c r="D16" s="17"/>
      <c r="E16" s="17"/>
      <c r="F16" s="17"/>
    </row>
    <row r="17" customFormat="false" ht="15" hidden="false" customHeight="false" outlineLevel="0" collapsed="false">
      <c r="A17" s="17"/>
      <c r="B17" s="17"/>
      <c r="C17" s="17"/>
      <c r="D17" s="17"/>
      <c r="E17" s="17"/>
      <c r="F17" s="17"/>
    </row>
    <row r="18" customFormat="false" ht="15" hidden="false" customHeight="false" outlineLevel="0" collapsed="false">
      <c r="A18" s="17"/>
      <c r="B18" s="17"/>
      <c r="C18" s="17"/>
      <c r="D18" s="17"/>
      <c r="E18" s="17"/>
      <c r="F18" s="17"/>
    </row>
  </sheetData>
  <mergeCells count="8">
    <mergeCell ref="A1:D1"/>
    <mergeCell ref="B3:F3"/>
    <mergeCell ref="B5:F5"/>
    <mergeCell ref="B7:F7"/>
    <mergeCell ref="B9:F9"/>
    <mergeCell ref="B11:F11"/>
    <mergeCell ref="A14:F14"/>
    <mergeCell ref="A15: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2026-06-29T08:17:10Z</dcterms:created>
  <dc:creator>openpyxl</dc:creator>
  <dc:description/>
  <dc:language>en-US</dc:language>
  <cp:lastModifiedBy/>
  <dcterms:modified xsi:type="dcterms:W3CDTF">2026-06-29T08:17:10Z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